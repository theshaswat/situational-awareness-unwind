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3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4" customWidth="1" min="2" max="2"/>
    <col width="20" customWidth="1" min="3" max="3"/>
  </cols>
  <sheetData>
    <row r="1">
      <c r="A1" s="1" t="inlineStr">
        <is>
          <t>Situational Awareness Unwind — Margin Call Calculator</t>
        </is>
      </c>
    </row>
    <row r="2">
      <c r="A2" s="2" t="inlineStr">
        <is>
          <t>Auditable mirror of src/risk/margin.py — inputs in yellow, formulas everywhere else</t>
        </is>
      </c>
    </row>
    <row r="3">
      <c r="A3" t="inlineStr"/>
    </row>
    <row r="4">
      <c r="A4" s="3" t="inlineStr">
        <is>
          <t>INPUTS</t>
        </is>
      </c>
    </row>
    <row r="5">
      <c r="A5" t="inlineStr">
        <is>
          <t>Equity (investor capital, $)</t>
        </is>
      </c>
      <c r="C5" s="4" t="n">
        <v>6000000000</v>
      </c>
    </row>
    <row r="6">
      <c r="A6" t="inlineStr">
        <is>
          <t>Long exposure ($)</t>
        </is>
      </c>
      <c r="C6" s="4" t="n">
        <v>20169035068</v>
      </c>
    </row>
    <row r="7">
      <c r="A7" t="inlineStr">
        <is>
          <t>Short/hedge notional ($, reported not filed)</t>
        </is>
      </c>
      <c r="C7" s="4" t="n">
        <v>14000000000</v>
      </c>
    </row>
    <row r="8">
      <c r="A8" t="inlineStr">
        <is>
          <t>Maintenance margin requirement (% of gross)</t>
        </is>
      </c>
      <c r="C8" s="5" t="n">
        <v>0.2</v>
      </c>
    </row>
    <row r="9">
      <c r="A9" t="inlineStr">
        <is>
          <t>Assumed daily book drawdown (%)</t>
        </is>
      </c>
      <c r="C9" s="5" t="n">
        <v>0.03</v>
      </c>
    </row>
    <row r="10">
      <c r="A10" t="inlineStr"/>
    </row>
    <row r="11">
      <c r="A11" s="3" t="inlineStr">
        <is>
          <t>CALCULATED</t>
        </is>
      </c>
    </row>
    <row r="12">
      <c r="A12" t="inlineStr">
        <is>
          <t>Gross exposure ($)</t>
        </is>
      </c>
      <c r="C12">
        <f>C4+C5</f>
        <v/>
      </c>
    </row>
    <row r="13">
      <c r="A13" t="inlineStr">
        <is>
          <t>Net exposure ($)</t>
        </is>
      </c>
      <c r="C13">
        <f>C4-C5</f>
        <v/>
      </c>
    </row>
    <row r="14">
      <c r="A14" t="inlineStr">
        <is>
          <t>Gross leverage (x)</t>
        </is>
      </c>
      <c r="C14">
        <f>C11/C3</f>
        <v/>
      </c>
    </row>
    <row r="15">
      <c r="A15" t="inlineStr">
        <is>
          <t>Net leverage (x)</t>
        </is>
      </c>
      <c r="C15">
        <f>C12/C3</f>
        <v/>
      </c>
    </row>
    <row r="16">
      <c r="A16" t="inlineStr">
        <is>
          <t>Maintenance equity threshold ($)</t>
        </is>
      </c>
      <c r="C16">
        <f>C11*C6</f>
        <v/>
      </c>
    </row>
    <row r="17">
      <c r="A17" t="inlineStr">
        <is>
          <t>Equity headroom above threshold ($)</t>
        </is>
      </c>
      <c r="C17">
        <f>C3-C14</f>
        <v/>
      </c>
    </row>
    <row r="18">
      <c r="A18" t="inlineStr">
        <is>
          <t>Approx. days to margin call at assumed drawdown</t>
        </is>
      </c>
      <c r="C18">
        <f>IF(C7=0,"n/a",C15/(C11*C7))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2026-08-22T10:31:37Z</dcterms:created>
  <dcterms:modified xmlns:dcterms="http://purl.org/dc/terms/" xmlns:xsi="http://www.w3.org/2001/XMLSchema-instance" xsi:type="dcterms:W3CDTF">2026-08-22T10:31:37Z</dcterms:modified>
</cp:coreProperties>
</file>